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MIZ\Desktop\MapUp-DA-Assessment-2024\submissions\"/>
    </mc:Choice>
  </mc:AlternateContent>
  <xr:revisionPtr revIDLastSave="0" documentId="8_{950AFDBE-2B34-426B-BC80-44F323107A6E}" xr6:coauthVersionLast="47" xr6:coauthVersionMax="47" xr10:uidLastSave="{00000000-0000-0000-0000-000000000000}"/>
  <bookViews>
    <workbookView xWindow="-108" yWindow="-108" windowWidth="23256" windowHeight="131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20" l="1"/>
  <c r="B4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E27" i="20" a="1"/>
  <c r="E27" i="20" s="1"/>
  <c r="E28" i="20" a="1"/>
  <c r="E28" i="20" s="1"/>
  <c r="E29" i="20" a="1"/>
  <c r="E29" i="20" s="1"/>
  <c r="E30" i="20" a="1"/>
  <c r="E30" i="20"/>
  <c r="E31" i="20" a="1"/>
  <c r="E31" i="20" s="1"/>
  <c r="E32" i="20" a="1"/>
  <c r="E32" i="20" s="1"/>
  <c r="E33" i="20" a="1"/>
  <c r="E33" i="20" s="1"/>
  <c r="E34" i="20" a="1"/>
  <c r="E34" i="20"/>
  <c r="E35" i="20" a="1"/>
  <c r="E35" i="20" s="1"/>
  <c r="E24" i="20" a="1"/>
  <c r="E24" i="20" s="1"/>
  <c r="E25" i="20" a="1"/>
  <c r="E25" i="20" s="1"/>
  <c r="E26" i="20" a="1"/>
  <c r="E26" i="20" s="1"/>
  <c r="E23" i="20" a="1"/>
  <c r="E23" i="20" s="1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5" i="15"/>
  <c r="C5" i="15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<sst xmlns="http://schemas.openxmlformats.org/spreadsheetml/2006/main" count="411" uniqueCount="188">
  <si>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</si>
  <si>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</si>
  <si>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</si>
  <si>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</si>
  <si>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</si>
  <si>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</si>
  <si>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</si>
  <si>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</si>
  <si>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</si>
  <si>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</si>
  <si>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</si>
  <si>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</si>
  <si>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</si>
  <si>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</si>
  <si>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</si>
  <si>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</si>
  <si>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</si>
  <si>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</si>
  <si>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</si>
  <si>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</si>
  <si>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</si>
  <si>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</si>
  <si>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</si>
  <si>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</si>
  <si>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</si>
  <si>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</si>
  <si>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</si>
  <si>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</si>
  <si>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</si>
  <si>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</si>
  <si>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</si>
  <si>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</si>
  <si>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</si>
  <si>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</si>
  <si>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</si>
  <si>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</si>
  <si>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</si>
  <si>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</si>
  <si>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</si>
  <si>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</si>
  <si>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</si>
  <si>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</si>
  <si>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</si>
  <si>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</si>
  <si>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</si>
  <si>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</si>
  <si>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</si>
  <si>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</si>
  <si>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</si>
  <si>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</si>
  <si>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</si>
  <si>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</si>
  <si>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</si>
  <si>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</si>
  <si>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</si>
  <si>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</si>
  <si>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</si>
  <si>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</si>
  <si>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</si>
  <si>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</si>
  <si>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</si>
  <si>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</si>
  <si>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</si>
  <si>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</si>
  <si>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</si>
  <si>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</si>
  <si>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</si>
  <si>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</si>
  <si>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</si>
  <si>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</si>
  <si>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</si>
  <si>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</si>
  <si>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</si>
  <si>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</si>
  <si>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</si>
  <si>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</si>
  <si>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</si>
  <si>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</si>
  <si>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</si>
  <si>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</si>
  <si>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</si>
  <si>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</si>
  <si>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</si>
  <si>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</si>
  <si>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</si>
  <si>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</si>
  <si>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</si>
  <si>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</si>
  <si>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</si>
  <si>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</si>
  <si>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</si>
  <si>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</si>
  <si>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</si>
  <si>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</si>
  <si>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</si>
  <si>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</si>
  <si>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</si>
  <si>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</si>
  <si>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</si>
  <si>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</si>
  <si>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</si>
  <si>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</si>
  <si>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</si>
  <si>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</si>
  <si>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</si>
  <si>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</si>
  <si>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</si>
  <si>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</si>
  <si>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</si>
  <si>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</si>
  <si>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</si>
  <si>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</si>
  <si>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</si>
  <si>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</si>
  <si>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</si>
  <si>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</si>
  <si>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</si>
  <si>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</si>
  <si>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</si>
  <si>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</si>
  <si>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</si>
  <si>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</si>
  <si>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</si>
  <si>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</si>
  <si>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</si>
  <si>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</si>
  <si>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</si>
  <si>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</si>
  <si>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</si>
  <si>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</si>
  <si>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</si>
  <si>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</si>
  <si>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</si>
  <si>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</si>
  <si>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</si>
  <si>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</si>
  <si>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</si>
  <si>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</si>
  <si>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</si>
  <si>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</si>
  <si>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</si>
  <si>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</si>
  <si>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</si>
  <si>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</si>
  <si>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</si>
  <si>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</si>
  <si>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</si>
  <si>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</si>
  <si>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</si>
  <si>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</si>
  <si>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</si>
  <si>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</si>
  <si>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</si>
  <si>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</si>
  <si>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</si>
  <si>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</si>
  <si>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</si>
  <si>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</si>
  <si>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</si>
  <si>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</si>
  <si>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</si>
  <si>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</si>
  <si>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</si>
  <si>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</si>
  <si>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</si>
  <si>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</si>
  <si>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</si>
  <si>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</si>
  <si>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</si>
  <si>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</si>
  <si>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</si>
  <si>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</si>
  <si>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</si>
  <si>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</si>
  <si>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</si>
  <si>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</si>
  <si>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highlighted the cells using conditiona  formatting</t>
  </si>
  <si>
    <t>Freezed the top row using freeze pane from</t>
  </si>
  <si>
    <t>Used format cell custom option</t>
  </si>
  <si>
    <t>20000-Monday-0-Sunday-25</t>
  </si>
  <si>
    <t>Find and replace</t>
  </si>
  <si>
    <t>Used find and replace option to replace #N/A to 20</t>
  </si>
  <si>
    <t>Autosum</t>
  </si>
  <si>
    <t>Selected the cells we wanted the sum, then click on autosum or (Alt+=)</t>
  </si>
  <si>
    <t>I used Table_B to match name_1 and name_2 in Table_C with their corresponding names. Then, I applied the IFS function to determine the column numbers for name_2 and used VLOOKUP to retrieve the corresponding values from Table_A, filling in the value column in Table_C</t>
  </si>
  <si>
    <t>Name_1</t>
  </si>
  <si>
    <t>Name_2</t>
  </si>
  <si>
    <t>Col_Index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</si>
</sst>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175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5" t="s">
        <v>169</v>
      </c>
      <c r="B9" s="25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L1" zoomScaleNormal="100" workbookViewId="0">
      <pane ySplit="1" topLeftCell="A14" activePane="bottomLeft" state="frozen"/>
      <selection pane="bottomLeft" activeCell="X1" sqref="X1:X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4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">
      <c r="H41" s="1">
        <f>SUMIF($H$2:$H$40, 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">
    <cfRule type="cellIs" dxfId="2" priority="3" operator="equal">
      <formula>-1</formula>
    </cfRule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4" sqref="C1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158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D3" s="1" t="s">
        <v>176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177</v>
      </c>
      <c r="E4" s="1">
        <v>5</v>
      </c>
    </row>
    <row r="5" spans="1:5" x14ac:dyDescent="0.3">
      <c r="A5" s="6">
        <v>3</v>
      </c>
      <c r="B5" s="2" t="s">
        <v>104</v>
      </c>
      <c r="C5" s="33">
        <f>SUMIF($H$2:$H$40, "&gt;20")</f>
        <v>0</v>
      </c>
      <c r="D5" s="33">
        <f>SUMIF(Dataset!$H$2:$H$40,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D6" s="1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8" zoomScaleNormal="100" workbookViewId="0">
      <selection activeCell="B30" sqref="B30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162</v>
      </c>
    </row>
    <row r="2" spans="1:7" s="40" customFormat="1" ht="21" x14ac:dyDescent="0.4">
      <c r="B2" s="40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160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VLOOKUP($A6,Dataset!$A$1:$X$40,7,FALSE)</f>
        <v>2.7</v>
      </c>
      <c r="C6" s="11">
        <f>VLOOKUP($A6,Dataset!$A$1:$X$40,14,FALSE)</f>
        <v>7.6</v>
      </c>
      <c r="D6" s="11">
        <f>VLOOKUP($A6,Dataset!$A$1:$X$40,18,FALSE)</f>
        <v>4.2</v>
      </c>
      <c r="E6" s="11">
        <f>VLOOKUP($A6,Dataset!$A$1:$X$40,20,FALSE)</f>
        <v>8.9</v>
      </c>
      <c r="F6" s="11">
        <f>VLOOKUP($A6,Dataset!$A$1:$X$40,22,FALSE)</f>
        <v>4.2</v>
      </c>
    </row>
    <row r="7" spans="1:7" ht="14.4" x14ac:dyDescent="0.3">
      <c r="A7" s="7" t="s">
        <v>4</v>
      </c>
      <c r="B7" s="11">
        <f>VLOOKUP($A7,Dataset!$A$1:$X$40,7,FALSE)</f>
        <v>2.7</v>
      </c>
      <c r="C7" s="11">
        <f>VLOOKUP($A7,Dataset!$A$1:$X$40,14,FALSE)</f>
        <v>7.6</v>
      </c>
      <c r="D7" s="11">
        <f>VLOOKUP($A7,Dataset!$A$1:$X$40,18,FALSE)</f>
        <v>4.2</v>
      </c>
      <c r="E7" s="11">
        <f>VLOOKUP($A7,Dataset!$A$1:$X$40,20,FALSE)</f>
        <v>8.9</v>
      </c>
      <c r="F7" s="11">
        <f>VLOOKUP($A7,Dataset!$A$1:$X$40,22,FALSE)</f>
        <v>4.2</v>
      </c>
    </row>
    <row r="8" spans="1:7" ht="14.4" x14ac:dyDescent="0.3">
      <c r="A8" s="7" t="s">
        <v>7</v>
      </c>
      <c r="B8" s="11">
        <f>VLOOKUP($A8,Dataset!$A$1:$X$40,7,FALSE)</f>
        <v>3.6</v>
      </c>
      <c r="C8" s="11">
        <f>VLOOKUP($A8,Dataset!$A$1:$X$40,14,FALSE)</f>
        <v>11.1</v>
      </c>
      <c r="D8" s="11">
        <f>VLOOKUP($A8,Dataset!$A$1:$X$40,18,FALSE)</f>
        <v>5.8</v>
      </c>
      <c r="E8" s="11">
        <f>VLOOKUP($A8,Dataset!$A$1:$X$40,20,FALSE)</f>
        <v>12.2</v>
      </c>
      <c r="F8" s="11">
        <f>VLOOKUP($A8,Dataset!$A$1:$X$40,22,FALSE)</f>
        <v>5.8</v>
      </c>
    </row>
    <row r="9" spans="1:7" ht="14.4" x14ac:dyDescent="0.3">
      <c r="A9" s="7" t="s">
        <v>8</v>
      </c>
      <c r="B9" s="11">
        <f>VLOOKUP($A9,Dataset!$A$1:$X$40,7,FALSE)</f>
        <v>4.9000000000000004</v>
      </c>
      <c r="C9" s="11">
        <f>VLOOKUP($A9,Dataset!$A$1:$X$40,14,FALSE)</f>
        <v>13.3</v>
      </c>
      <c r="D9" s="11">
        <f>VLOOKUP($A9,Dataset!$A$1:$X$40,18,FALSE)</f>
        <v>8.1</v>
      </c>
      <c r="E9" s="11">
        <f>VLOOKUP($A9,Dataset!$A$1:$X$40,20,FALSE)</f>
        <v>17</v>
      </c>
      <c r="F9" s="11">
        <f>VLOOKUP($A9,Dataset!$A$1:$X$40,22,FALSE)</f>
        <v>8.1</v>
      </c>
    </row>
    <row r="10" spans="1:7" ht="14.4" x14ac:dyDescent="0.3">
      <c r="A10" s="7" t="s">
        <v>11</v>
      </c>
      <c r="B10" s="11">
        <f>VLOOKUP($A10,Dataset!$A$1:$X$40,7,FALSE)</f>
        <v>9.4</v>
      </c>
      <c r="C10" s="11">
        <f>VLOOKUP($A10,Dataset!$A$1:$X$40,14,FALSE)</f>
        <v>28.3</v>
      </c>
      <c r="D10" s="11">
        <f>VLOOKUP($A10,Dataset!$A$1:$X$40,18,FALSE)</f>
        <v>16.100000000000001</v>
      </c>
      <c r="E10" s="11">
        <f>VLOOKUP($A10,Dataset!$A$1:$X$40,20,FALSE)</f>
        <v>32.799999999999997</v>
      </c>
      <c r="F10" s="11">
        <f>VLOOKUP($A10,Dataset!$A$1:$X$40,22,FALSE)</f>
        <v>16.100000000000001</v>
      </c>
    </row>
    <row r="11" spans="1:7" ht="14.4" x14ac:dyDescent="0.3">
      <c r="A11" s="7" t="s">
        <v>12</v>
      </c>
      <c r="B11" s="11">
        <f>VLOOKUP($A11,Dataset!$A$1:$X$40,7,FALSE)</f>
        <v>11.6</v>
      </c>
      <c r="C11" s="11">
        <f>VLOOKUP($A11,Dataset!$A$1:$X$40,14,FALSE)</f>
        <v>35.200000000000003</v>
      </c>
      <c r="D11" s="11">
        <f>VLOOKUP($A11,Dataset!$A$1:$X$40,18,FALSE)</f>
        <v>21.3</v>
      </c>
      <c r="E11" s="11">
        <f>VLOOKUP($A11,Dataset!$A$1:$X$40,20,FALSE)</f>
        <v>43</v>
      </c>
      <c r="F11" s="11">
        <f>VLOOKUP($A11,Dataset!$A$1:$X$40,22,FALSE)</f>
        <v>21.3</v>
      </c>
    </row>
    <row r="12" spans="1:7" ht="14.4" x14ac:dyDescent="0.3">
      <c r="A12" s="7" t="s">
        <v>14</v>
      </c>
      <c r="B12" s="11">
        <f>VLOOKUP($A12,Dataset!$A$1:$X$40,7,FALSE)</f>
        <v>18.399999999999999</v>
      </c>
      <c r="C12" s="11">
        <f>VLOOKUP($A12,Dataset!$A$1:$X$40,14,FALSE)</f>
        <v>55.6</v>
      </c>
      <c r="D12" s="11">
        <f>VLOOKUP($A12,Dataset!$A$1:$X$40,18,FALSE)</f>
        <v>33.799999999999997</v>
      </c>
      <c r="E12" s="11">
        <f>VLOOKUP($A12,Dataset!$A$1:$X$40,20,FALSE)</f>
        <v>67.900000000000006</v>
      </c>
      <c r="F12" s="11">
        <f>VLOOKUP($A12,Dataset!$A$1:$X$40,22,FALSE)</f>
        <v>33.799999999999997</v>
      </c>
    </row>
    <row r="13" spans="1:7" ht="14.4" x14ac:dyDescent="0.3">
      <c r="A13" s="7" t="s">
        <v>15</v>
      </c>
      <c r="B13" s="11">
        <f>VLOOKUP($A13,Dataset!$A$1:$X$40,7,FALSE)</f>
        <v>0</v>
      </c>
      <c r="C13" s="11">
        <f>VLOOKUP($A13,Dataset!$A$1:$X$40,14,FALSE)</f>
        <v>0</v>
      </c>
      <c r="D13" s="11">
        <f>VLOOKUP($A13,Dataset!$A$1:$X$40,18,FALSE)</f>
        <v>0</v>
      </c>
      <c r="E13" s="11">
        <f>VLOOKUP($A13,Dataset!$A$1:$X$40,20,FALSE)</f>
        <v>0</v>
      </c>
      <c r="F13" s="11">
        <f>VLOOKUP($A13,Dataset!$A$1:$X$40,22,FALSE)</f>
        <v>0</v>
      </c>
    </row>
    <row r="14" spans="1:7" ht="14.4" x14ac:dyDescent="0.3">
      <c r="A14" s="7" t="s">
        <v>16</v>
      </c>
      <c r="B14" s="11">
        <f>VLOOKUP($A14,Dataset!$A$1:$X$40,7,FALSE)</f>
        <v>21.9</v>
      </c>
      <c r="C14" s="11">
        <f>VLOOKUP($A14,Dataset!$A$1:$X$40,14,FALSE)</f>
        <v>61.5</v>
      </c>
      <c r="D14" s="11">
        <f>VLOOKUP($A14,Dataset!$A$1:$X$40,18,FALSE)</f>
        <v>40.1</v>
      </c>
      <c r="E14" s="11">
        <f>VLOOKUP($A14,Dataset!$A$1:$X$40,20,FALSE)</f>
        <v>76.599999999999994</v>
      </c>
      <c r="F14" s="11">
        <f>VLOOKUP($A14,Dataset!$A$1:$X$40,22,FALSE)</f>
        <v>40.1</v>
      </c>
    </row>
    <row r="15" spans="1:7" ht="14.4" x14ac:dyDescent="0.3">
      <c r="A15" s="7" t="s">
        <v>18</v>
      </c>
      <c r="B15" s="11">
        <f>VLOOKUP($A15,Dataset!$A$1:$X$40,7,FALSE)</f>
        <v>26.8</v>
      </c>
      <c r="C15" s="11">
        <f>VLOOKUP($A15,Dataset!$A$1:$X$40,14,FALSE)</f>
        <v>79.599999999999994</v>
      </c>
      <c r="D15" s="11">
        <f>VLOOKUP($A15,Dataset!$A$1:$X$40,18,FALSE)</f>
        <v>47.9</v>
      </c>
      <c r="E15" s="11">
        <f>VLOOKUP($A15,Dataset!$A$1:$X$40,20,FALSE)</f>
        <v>96.8</v>
      </c>
      <c r="F15" s="11">
        <f>VLOOKUP($A15,Dataset!$A$1:$X$40,22,FALSE)</f>
        <v>47.9</v>
      </c>
    </row>
    <row r="16" spans="1:7" ht="14.4" x14ac:dyDescent="0.3">
      <c r="A16" s="7" t="s">
        <v>20</v>
      </c>
      <c r="B16" s="11">
        <f>VLOOKUP($A16,Dataset!$A$1:$X$40,7,FALSE)</f>
        <v>28.5</v>
      </c>
      <c r="C16" s="11">
        <f>VLOOKUP($A16,Dataset!$A$1:$X$40,14,FALSE)</f>
        <v>85.4</v>
      </c>
      <c r="D16" s="11">
        <f>VLOOKUP($A16,Dataset!$A$1:$X$40,18,FALSE)</f>
        <v>52.3</v>
      </c>
      <c r="E16" s="11">
        <f>VLOOKUP($A16,Dataset!$A$1:$X$40,20,FALSE)</f>
        <v>106.1</v>
      </c>
      <c r="F16" s="11">
        <f>VLOOKUP($A16,Dataset!$A$1:$X$40,22,FALSE)</f>
        <v>52.3</v>
      </c>
    </row>
    <row r="17" spans="1:6" ht="14.4" x14ac:dyDescent="0.3">
      <c r="A17" s="7" t="s">
        <v>22</v>
      </c>
      <c r="B17" s="11">
        <f>VLOOKUP($A17,Dataset!$A$1:$X$40,7,FALSE)</f>
        <v>30.7</v>
      </c>
      <c r="C17" s="11">
        <f>VLOOKUP($A17,Dataset!$A$1:$X$40,14,FALSE)</f>
        <v>92.1</v>
      </c>
      <c r="D17" s="11">
        <f>VLOOKUP($A17,Dataset!$A$1:$X$40,18,FALSE)</f>
        <v>57</v>
      </c>
      <c r="E17" s="11">
        <f>VLOOKUP($A17,Dataset!$A$1:$X$40,20,FALSE)</f>
        <v>115.1</v>
      </c>
      <c r="F17" s="11">
        <f>VLOOKUP($A17,Dataset!$A$1:$X$40,22,FALSE)</f>
        <v>57</v>
      </c>
    </row>
    <row r="18" spans="1:6" ht="14.4" x14ac:dyDescent="0.3">
      <c r="A18" s="7" t="s">
        <v>23</v>
      </c>
      <c r="B18" s="11">
        <f>VLOOKUP($A18,Dataset!$A$1:$X$40,7,FALSE)</f>
        <v>33.799999999999997</v>
      </c>
      <c r="C18" s="11">
        <f>VLOOKUP($A18,Dataset!$A$1:$X$40,14,FALSE)</f>
        <v>101.3</v>
      </c>
      <c r="D18" s="11">
        <f>VLOOKUP($A18,Dataset!$A$1:$X$40,18,FALSE)</f>
        <v>61.4</v>
      </c>
      <c r="E18" s="11">
        <f>VLOOKUP($A18,Dataset!$A$1:$X$40,20,FALSE)</f>
        <v>124.4</v>
      </c>
      <c r="F18" s="11">
        <f>VLOOKUP($A18,Dataset!$A$1:$X$40,22,FALSE)</f>
        <v>61.4</v>
      </c>
    </row>
    <row r="19" spans="1:6" ht="14.4" x14ac:dyDescent="0.3">
      <c r="A19" s="7" t="s">
        <v>24</v>
      </c>
      <c r="B19" s="11">
        <f>VLOOKUP($A19,Dataset!$A$1:$X$40,7,FALSE)</f>
        <v>34.700000000000003</v>
      </c>
      <c r="C19" s="11">
        <f>VLOOKUP($A19,Dataset!$A$1:$X$40,14,FALSE)</f>
        <v>106.1</v>
      </c>
      <c r="D19" s="11">
        <f>VLOOKUP($A19,Dataset!$A$1:$X$40,18,FALSE)</f>
        <v>63.6</v>
      </c>
      <c r="E19" s="11">
        <f>VLOOKUP($A19,Dataset!$A$1:$X$40,20,FALSE)</f>
        <v>128.6</v>
      </c>
      <c r="F19" s="11">
        <f>VLOOKUP($A19,Dataset!$A$1:$X$40,22,FALSE)</f>
        <v>63.6</v>
      </c>
    </row>
    <row r="20" spans="1:6" ht="14.4" x14ac:dyDescent="0.3">
      <c r="A20" s="7" t="s">
        <v>28</v>
      </c>
      <c r="B20" s="11">
        <f>VLOOKUP($A20,Dataset!$A$1:$X$40,7,FALSE)</f>
        <v>0</v>
      </c>
      <c r="C20" s="11">
        <f>VLOOKUP($A20,Dataset!$A$1:$X$40,14,FALSE)</f>
        <v>0</v>
      </c>
      <c r="D20" s="11">
        <f>VLOOKUP($A20,Dataset!$A$1:$X$40,18,FALSE)</f>
        <v>0</v>
      </c>
      <c r="E20" s="11">
        <f>VLOOKUP($A20,Dataset!$A$1:$X$40,20,FALSE)</f>
        <v>0</v>
      </c>
      <c r="F20" s="11">
        <f>VLOOKUP($A20,Dataset!$A$1:$X$40,22,FALSE)</f>
        <v>0</v>
      </c>
    </row>
    <row r="21" spans="1:6" ht="14.4" x14ac:dyDescent="0.3">
      <c r="A21" s="7" t="s">
        <v>57</v>
      </c>
      <c r="B21" s="11">
        <f>VLOOKUP($A21,Dataset!$A$1:$X$40,7,FALSE)</f>
        <v>41.3</v>
      </c>
      <c r="C21" s="11">
        <f>VLOOKUP($A21,Dataset!$A$1:$X$40,14,FALSE)</f>
        <v>124.4</v>
      </c>
      <c r="D21" s="11">
        <f>VLOOKUP($A21,Dataset!$A$1:$X$40,18,FALSE)</f>
        <v>75</v>
      </c>
      <c r="E21" s="11">
        <f>VLOOKUP($A21,Dataset!$A$1:$X$40,20,FALSE)</f>
        <v>151.5</v>
      </c>
      <c r="F21" s="11">
        <f>VLOOKUP($A21,Dataset!$A$1:$X$40,22,FALSE)</f>
        <v>75</v>
      </c>
    </row>
    <row r="22" spans="1:6" ht="14.4" x14ac:dyDescent="0.3">
      <c r="A22" s="7" t="s">
        <v>58</v>
      </c>
      <c r="B22" s="11">
        <f>VLOOKUP($A22,Dataset!$A$1:$X$40,7,FALSE)</f>
        <v>-1</v>
      </c>
      <c r="C22" s="11">
        <f>VLOOKUP($A22,Dataset!$A$1:$X$40,14,FALSE)</f>
        <v>-1</v>
      </c>
      <c r="D22" s="11">
        <f>VLOOKUP($A22,Dataset!$A$1:$X$40,18,FALSE)</f>
        <v>-1</v>
      </c>
      <c r="E22" s="11">
        <f>VLOOKUP($A22,Dataset!$A$1:$X$40,20,FALSE)</f>
        <v>-1</v>
      </c>
      <c r="F22" s="11">
        <f>VLOOKUP($A22,Dataset!$A$1:$X$40,22,FALSE)</f>
        <v>-1</v>
      </c>
    </row>
    <row r="23" spans="1:6" ht="14.4" x14ac:dyDescent="0.3">
      <c r="A23" s="7" t="s">
        <v>31</v>
      </c>
      <c r="B23" s="11">
        <f>VLOOKUP($A23,Dataset!$A$1:$X$40,7,FALSE)</f>
        <v>45</v>
      </c>
      <c r="C23" s="11">
        <f>VLOOKUP($A23,Dataset!$A$1:$X$40,14,FALSE)</f>
        <v>133.4</v>
      </c>
      <c r="D23" s="11">
        <f>VLOOKUP($A23,Dataset!$A$1:$X$40,18,FALSE)</f>
        <v>79.400000000000006</v>
      </c>
      <c r="E23" s="11">
        <f>VLOOKUP($A23,Dataset!$A$1:$X$40,20,FALSE)</f>
        <v>160.9</v>
      </c>
      <c r="F23" s="11">
        <f>VLOOKUP($A23,Dataset!$A$1:$X$40,22,FALSE)</f>
        <v>79.400000000000006</v>
      </c>
    </row>
    <row r="24" spans="1:6" ht="14.4" x14ac:dyDescent="0.3">
      <c r="A24" s="7" t="s">
        <v>32</v>
      </c>
      <c r="B24" s="11">
        <f>VLOOKUP($A24,Dataset!$A$1:$X$40,7,FALSE)</f>
        <v>-1</v>
      </c>
      <c r="C24" s="11">
        <f>VLOOKUP($A24,Dataset!$A$1:$X$40,14,FALSE)</f>
        <v>-1</v>
      </c>
      <c r="D24" s="11">
        <f>VLOOKUP($A24,Dataset!$A$1:$X$40,18,FALSE)</f>
        <v>-1</v>
      </c>
      <c r="E24" s="11">
        <f>VLOOKUP($A24,Dataset!$A$1:$X$40,20,FALSE)</f>
        <v>-1</v>
      </c>
      <c r="F24" s="11">
        <f>VLOOKUP($A24,Dataset!$A$1:$X$40,22,FALSE)</f>
        <v>-1</v>
      </c>
    </row>
    <row r="25" spans="1:6" ht="14.4" x14ac:dyDescent="0.3">
      <c r="A25" s="7" t="s">
        <v>34</v>
      </c>
      <c r="B25" s="11">
        <f>VLOOKUP($A25,Dataset!$A$1:$X$40,7,FALSE)</f>
        <v>43.3</v>
      </c>
      <c r="C25" s="11">
        <f>VLOOKUP($A25,Dataset!$A$1:$X$40,14,FALSE)</f>
        <v>128.6</v>
      </c>
      <c r="D25" s="11">
        <f>VLOOKUP($A25,Dataset!$A$1:$X$40,18,FALSE)</f>
        <v>79.400000000000006</v>
      </c>
      <c r="E25" s="11">
        <f>VLOOKUP($A25,Dataset!$A$1:$X$40,20,FALSE)</f>
        <v>160.9</v>
      </c>
      <c r="F25" s="11">
        <f>VLOOKUP($A25,Dataset!$A$1:$X$40,22,FALSE)</f>
        <v>79.400000000000006</v>
      </c>
    </row>
    <row r="26" spans="1:6" ht="14.4" x14ac:dyDescent="0.3">
      <c r="A26" s="7" t="s">
        <v>37</v>
      </c>
      <c r="B26" s="11">
        <f>VLOOKUP($A26,Dataset!$A$1:$X$40,7,FALSE)</f>
        <v>49.1</v>
      </c>
      <c r="C26" s="11">
        <f>VLOOKUP($A26,Dataset!$A$1:$X$40,14,FALSE)</f>
        <v>146.80000000000001</v>
      </c>
      <c r="D26" s="11">
        <f>VLOOKUP($A26,Dataset!$A$1:$X$40,18,FALSE)</f>
        <v>90.9</v>
      </c>
      <c r="E26" s="11">
        <f>VLOOKUP($A26,Dataset!$A$1:$X$40,20,FALSE)</f>
        <v>183.5</v>
      </c>
      <c r="F26" s="11">
        <f>VLOOKUP($A26,Dataset!$A$1:$X$40,22,FALSE)</f>
        <v>90.9</v>
      </c>
    </row>
    <row r="27" spans="1:6" ht="14.4" x14ac:dyDescent="0.3">
      <c r="A27" s="7" t="s">
        <v>39</v>
      </c>
      <c r="B27" s="11">
        <f>VLOOKUP($A27,Dataset!$A$1:$X$40,7,FALSE)</f>
        <v>51.8</v>
      </c>
      <c r="C27" s="11">
        <f>VLOOKUP($A27,Dataset!$A$1:$X$40,14,FALSE)</f>
        <v>156.4</v>
      </c>
      <c r="D27" s="11">
        <f>VLOOKUP($A27,Dataset!$A$1:$X$40,18,FALSE)</f>
        <v>93.1</v>
      </c>
      <c r="E27" s="11">
        <f>VLOOKUP($A27,Dataset!$A$1:$X$40,20,FALSE)</f>
        <v>188.1</v>
      </c>
      <c r="F27" s="11">
        <f>VLOOKUP($A27,Dataset!$A$1:$X$40,22,FALSE)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6" zoomScaleNormal="100" workbookViewId="0">
      <selection activeCell="A16" sqref="A16:A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149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151</v>
      </c>
      <c r="B6" s="39"/>
    </row>
    <row r="7" spans="1:10" ht="18" x14ac:dyDescent="0.35">
      <c r="A7" s="42"/>
      <c r="B7" s="39"/>
    </row>
    <row r="9" spans="1:10" ht="23.4" x14ac:dyDescent="0.45">
      <c r="A9" s="17" t="s">
        <v>163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160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179</v>
      </c>
      <c r="B17" s="11">
        <v>20000</v>
      </c>
      <c r="C17" s="1" t="s">
        <v>5</v>
      </c>
      <c r="D17" s="11">
        <v>0</v>
      </c>
      <c r="E17" s="1" t="s">
        <v>6</v>
      </c>
      <c r="F17" s="11">
        <v>25</v>
      </c>
    </row>
    <row r="18" spans="1:6" x14ac:dyDescent="0.3">
      <c r="A18" s="7" t="s">
        <v>121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122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123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124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125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126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127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128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129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130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131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132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133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134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135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136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137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138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139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140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141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142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143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144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145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146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147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148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0" sqref="G1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165</v>
      </c>
    </row>
    <row r="2" spans="1:3" ht="18" x14ac:dyDescent="0.35">
      <c r="B2" s="39" t="s">
        <v>164</v>
      </c>
    </row>
    <row r="5" spans="1:3" ht="14.4" x14ac:dyDescent="0.3">
      <c r="B5" s="1" t="s">
        <v>149</v>
      </c>
    </row>
    <row r="6" spans="1:3" ht="14.4" x14ac:dyDescent="0.3">
      <c r="A6" s="3" t="s">
        <v>53</v>
      </c>
      <c r="B6" s="1" t="s">
        <v>180</v>
      </c>
      <c r="C6" s="2" t="s">
        <v>182</v>
      </c>
    </row>
    <row r="7" spans="1:3" ht="14.4" x14ac:dyDescent="0.3">
      <c r="A7" s="3" t="s">
        <v>151</v>
      </c>
      <c r="B7" s="1" t="s">
        <v>181</v>
      </c>
      <c r="C7" s="2" t="s">
        <v>183</v>
      </c>
    </row>
    <row r="10" spans="1:3" ht="23.4" x14ac:dyDescent="0.45">
      <c r="A10" s="17" t="s">
        <v>160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152</v>
      </c>
      <c r="C17" s="16">
        <v>150</v>
      </c>
    </row>
    <row r="18" spans="1:3" ht="14.4" x14ac:dyDescent="0.3">
      <c r="A18" s="31">
        <v>44933</v>
      </c>
      <c r="B18" s="16" t="s">
        <v>153</v>
      </c>
      <c r="C18" s="16">
        <v>80</v>
      </c>
    </row>
    <row r="19" spans="1:3" ht="14.4" x14ac:dyDescent="0.3">
      <c r="A19" s="31">
        <v>44934</v>
      </c>
      <c r="B19" s="16" t="s">
        <v>154</v>
      </c>
      <c r="C19" s="16">
        <v>20</v>
      </c>
    </row>
    <row r="20" spans="1:3" ht="14.4" x14ac:dyDescent="0.3">
      <c r="A20" s="31">
        <v>44935</v>
      </c>
      <c r="B20" s="16" t="s">
        <v>155</v>
      </c>
      <c r="C20" s="16">
        <v>30</v>
      </c>
    </row>
    <row r="21" spans="1:3" ht="14.4" x14ac:dyDescent="0.3">
      <c r="A21" s="31">
        <v>44936</v>
      </c>
      <c r="B21" s="16" t="s">
        <v>156</v>
      </c>
      <c r="C21" s="16">
        <v>20</v>
      </c>
    </row>
    <row r="22" spans="1:3" ht="14.4" x14ac:dyDescent="0.3">
      <c r="B22" s="16" t="s">
        <v>157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85" zoomScaleNormal="85" workbookViewId="0">
      <selection activeCell="F29" sqref="F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173</v>
      </c>
    </row>
    <row r="3" spans="1:14" ht="14.4" x14ac:dyDescent="0.3">
      <c r="B3" s="1" t="s">
        <v>149</v>
      </c>
    </row>
    <row r="4" spans="1:14" ht="18" x14ac:dyDescent="0.35">
      <c r="A4" s="42" t="s">
        <v>53</v>
      </c>
      <c r="B4" s="1">
        <f>VLOOKUP($C23, $A$10:$J$18, $E23, FALSE)</f>
        <v>95</v>
      </c>
    </row>
    <row r="5" spans="1:14" ht="18" x14ac:dyDescent="0.35">
      <c r="A5" s="42" t="s">
        <v>151</v>
      </c>
      <c r="B5" s="1" t="s">
        <v>184</v>
      </c>
    </row>
    <row r="6" spans="1:14" ht="14.4" x14ac:dyDescent="0.3">
      <c r="A6" s="3"/>
      <c r="B6" s="1"/>
    </row>
    <row r="8" spans="1:14" ht="23.4" x14ac:dyDescent="0.45">
      <c r="A8" s="17" t="s">
        <v>160</v>
      </c>
      <c r="M8" s="17" t="s">
        <v>161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166</v>
      </c>
    </row>
    <row r="22" spans="1:14" ht="14.4" x14ac:dyDescent="0.3">
      <c r="A22" s="13" t="s">
        <v>100</v>
      </c>
      <c r="B22" s="16" t="s">
        <v>101</v>
      </c>
      <c r="C22" s="24" t="s">
        <v>185</v>
      </c>
      <c r="D22" s="24" t="s">
        <v>186</v>
      </c>
      <c r="E22" s="24" t="s">
        <v>187</v>
      </c>
      <c r="F22" s="15" t="s">
        <v>102</v>
      </c>
    </row>
    <row r="23" spans="1:14" ht="14.4" x14ac:dyDescent="0.3">
      <c r="A23" s="7">
        <v>10100</v>
      </c>
      <c r="B23" s="11">
        <v>10102</v>
      </c>
      <c r="C23" s="24" t="str">
        <f>VLOOKUP($A23,$M$10:$N$18,2,FALSE)</f>
        <v>A</v>
      </c>
      <c r="D23" s="24" t="str">
        <f>VLOOKUP($B23,$M$10:$N$18,2,FALSE)</f>
        <v>B</v>
      </c>
      <c r="E23" s="24" cm="1">
        <f t="array" ref="E23">_xlfn.IFS(D23="A",2,D23="B",3,D23="C",4,D23="D",5,D23="E",6,D23="F",7,D23="G",8,D23="H",9,D23="I",10)</f>
        <v>3</v>
      </c>
      <c r="F23" s="24">
        <f>VLOOKUP($C23, $A$10:$J$18, $E23, FALSE)</f>
        <v>95</v>
      </c>
    </row>
    <row r="24" spans="1:14" ht="14.4" x14ac:dyDescent="0.3">
      <c r="A24" s="7">
        <v>10100</v>
      </c>
      <c r="B24" s="11">
        <v>10104</v>
      </c>
      <c r="C24" s="24" t="str">
        <f t="shared" ref="C24:C35" si="0">VLOOKUP($A24,$M$10:$N$18,2,FALSE)</f>
        <v>A</v>
      </c>
      <c r="D24" s="24" t="str">
        <f t="shared" ref="D24:D35" si="1">VLOOKUP($B24,$M$10:$N$18,2,FALSE)</f>
        <v>C</v>
      </c>
      <c r="E24" s="24" cm="1">
        <f t="array" ref="E24">_xlfn.IFS(D24="A",2,D24="B",3,D24="C",4,D24="D",5,D24="E",6,D24="F",7,D24="G",8,D24="H",9,D24="I",10)</f>
        <v>4</v>
      </c>
      <c r="F24" s="24">
        <f t="shared" ref="F24:F35" si="2">VLOOKUP($C24, $A$10:$J$18, $E24, FALSE)</f>
        <v>-1</v>
      </c>
    </row>
    <row r="25" spans="1:14" ht="14.4" x14ac:dyDescent="0.3">
      <c r="A25" s="7">
        <v>10108</v>
      </c>
      <c r="B25" s="11">
        <v>10102</v>
      </c>
      <c r="C25" s="24" t="str">
        <f t="shared" si="0"/>
        <v>E</v>
      </c>
      <c r="D25" s="24" t="str">
        <f t="shared" si="1"/>
        <v>B</v>
      </c>
      <c r="E25" s="24" cm="1">
        <f t="array" ref="E25">_xlfn.IFS(D25="A",2,D25="B",3,D25="C",4,D25="D",5,D25="E",6,D25="F",7,D25="G",8,D25="H",9,D25="I",10)</f>
        <v>3</v>
      </c>
      <c r="F25" s="24">
        <f t="shared" si="2"/>
        <v>160</v>
      </c>
    </row>
    <row r="26" spans="1:14" ht="14.4" x14ac:dyDescent="0.3">
      <c r="A26" s="7">
        <v>10100</v>
      </c>
      <c r="B26" s="11">
        <v>10106</v>
      </c>
      <c r="C26" s="24" t="str">
        <f t="shared" si="0"/>
        <v>A</v>
      </c>
      <c r="D26" s="24" t="str">
        <f t="shared" si="1"/>
        <v>D</v>
      </c>
      <c r="E26" s="24" cm="1">
        <f t="array" ref="E26">_xlfn.IFS(D26="A",2,D26="B",3,D26="C",4,D26="D",5,D26="E",6,D26="F",7,D26="G",8,D26="H",9,D26="I",10)</f>
        <v>5</v>
      </c>
      <c r="F26" s="24">
        <f t="shared" si="2"/>
        <v>185</v>
      </c>
    </row>
    <row r="27" spans="1:14" ht="14.4" x14ac:dyDescent="0.3">
      <c r="A27" s="7">
        <v>10108</v>
      </c>
      <c r="B27" s="11">
        <v>10110</v>
      </c>
      <c r="C27" s="24" t="str">
        <f t="shared" si="0"/>
        <v>E</v>
      </c>
      <c r="D27" s="24" t="str">
        <f t="shared" si="1"/>
        <v>F</v>
      </c>
      <c r="E27" s="24" cm="1">
        <f t="array" ref="E27">_xlfn.IFS(D27="A",2,D27="B",3,D27="C",4,D27="D",5,D27="E",6,D27="F",7,D27="G",8,D27="H",9,D27="I",10)</f>
        <v>7</v>
      </c>
      <c r="F27" s="24">
        <f t="shared" si="2"/>
        <v>50</v>
      </c>
    </row>
    <row r="28" spans="1:14" ht="14.4" x14ac:dyDescent="0.3">
      <c r="A28" s="7">
        <v>10102</v>
      </c>
      <c r="B28" s="11">
        <v>10104</v>
      </c>
      <c r="C28" s="24" t="str">
        <f t="shared" si="0"/>
        <v>B</v>
      </c>
      <c r="D28" s="24" t="str">
        <f t="shared" si="1"/>
        <v>C</v>
      </c>
      <c r="E28" s="24" cm="1">
        <f t="array" ref="E28">_xlfn.IFS(D28="A",2,D28="B",3,D28="C",4,D28="D",5,D28="E",6,D28="F",7,D28="G",8,D28="H",9,D28="I",10)</f>
        <v>4</v>
      </c>
      <c r="F28" s="24">
        <f t="shared" si="2"/>
        <v>-1</v>
      </c>
    </row>
    <row r="29" spans="1:14" ht="14.4" x14ac:dyDescent="0.3">
      <c r="A29" s="7">
        <v>10106</v>
      </c>
      <c r="B29" s="11">
        <v>10108</v>
      </c>
      <c r="C29" s="24" t="str">
        <f t="shared" si="0"/>
        <v>D</v>
      </c>
      <c r="D29" s="24" t="str">
        <f t="shared" si="1"/>
        <v>E</v>
      </c>
      <c r="E29" s="24" cm="1">
        <f t="array" ref="E29">_xlfn.IFS(D29="A",2,D29="B",3,D29="C",4,D29="D",5,D29="E",6,D29="F",7,D29="G",8,D29="H",9,D29="I",10)</f>
        <v>6</v>
      </c>
      <c r="F29" s="24">
        <f t="shared" si="2"/>
        <v>70</v>
      </c>
    </row>
    <row r="30" spans="1:14" ht="14.4" x14ac:dyDescent="0.3">
      <c r="A30" s="7">
        <v>10102</v>
      </c>
      <c r="B30" s="11">
        <v>10106</v>
      </c>
      <c r="C30" s="24" t="str">
        <f t="shared" si="0"/>
        <v>B</v>
      </c>
      <c r="D30" s="24" t="str">
        <f t="shared" si="1"/>
        <v>D</v>
      </c>
      <c r="E30" s="24" cm="1">
        <f t="array" ref="E30">_xlfn.IFS(D30="A",2,D30="B",3,D30="C",4,D30="D",5,D30="E",6,D30="F",7,D30="G",8,D30="H",9,D30="I",10)</f>
        <v>5</v>
      </c>
      <c r="F30" s="24">
        <f t="shared" si="2"/>
        <v>90</v>
      </c>
    </row>
    <row r="31" spans="1:14" ht="14.4" x14ac:dyDescent="0.3">
      <c r="A31" s="7">
        <v>10110</v>
      </c>
      <c r="B31" s="11">
        <v>10114</v>
      </c>
      <c r="C31" s="24" t="str">
        <f t="shared" si="0"/>
        <v>F</v>
      </c>
      <c r="D31" s="24" t="str">
        <f t="shared" si="1"/>
        <v>H</v>
      </c>
      <c r="E31" s="24" cm="1">
        <f t="array" ref="E31">_xlfn.IFS(D31="A",2,D31="B",3,D31="C",4,D31="D",5,D31="E",6,D31="F",7,D31="G",8,D31="H",9,D31="I",10)</f>
        <v>9</v>
      </c>
      <c r="F31" s="24">
        <f t="shared" si="2"/>
        <v>180</v>
      </c>
    </row>
    <row r="32" spans="1:14" ht="14.4" x14ac:dyDescent="0.3">
      <c r="A32" s="7">
        <v>10104</v>
      </c>
      <c r="B32" s="11">
        <v>10106</v>
      </c>
      <c r="C32" s="24" t="str">
        <f t="shared" si="0"/>
        <v>C</v>
      </c>
      <c r="D32" s="24" t="str">
        <f t="shared" si="1"/>
        <v>D</v>
      </c>
      <c r="E32" s="24" cm="1">
        <f t="array" ref="E32">_xlfn.IFS(D32="A",2,D32="B",3,D32="C",4,D32="D",5,D32="E",6,D32="F",7,D32="G",8,D32="H",9,D32="I",10)</f>
        <v>5</v>
      </c>
      <c r="F32" s="24">
        <f t="shared" si="2"/>
        <v>60</v>
      </c>
    </row>
    <row r="33" spans="1:6" ht="14.4" x14ac:dyDescent="0.3">
      <c r="A33" s="7">
        <v>10110</v>
      </c>
      <c r="B33" s="11">
        <v>10112</v>
      </c>
      <c r="C33" s="24" t="str">
        <f t="shared" si="0"/>
        <v>F</v>
      </c>
      <c r="D33" s="24" t="str">
        <f t="shared" si="1"/>
        <v>G</v>
      </c>
      <c r="E33" s="24" cm="1">
        <f t="array" ref="E33">_xlfn.IFS(D33="A",2,D33="B",3,D33="C",4,D33="D",5,D33="E",6,D33="F",7,D33="G",8,D33="H",9,D33="I",10)</f>
        <v>8</v>
      </c>
      <c r="F33" s="24">
        <f t="shared" si="2"/>
        <v>115</v>
      </c>
    </row>
    <row r="34" spans="1:6" ht="14.4" x14ac:dyDescent="0.3">
      <c r="A34" s="7">
        <v>10100</v>
      </c>
      <c r="B34" s="11">
        <v>10114</v>
      </c>
      <c r="C34" s="24" t="str">
        <f t="shared" si="0"/>
        <v>A</v>
      </c>
      <c r="D34" s="24" t="str">
        <f t="shared" si="1"/>
        <v>H</v>
      </c>
      <c r="E34" s="24" cm="1">
        <f t="array" ref="E34">_xlfn.IFS(D34="A",2,D34="B",3,D34="C",4,D34="D",5,D34="E",6,D34="F",7,D34="G",8,D34="H",9,D34="I",10)</f>
        <v>9</v>
      </c>
      <c r="F34" s="24">
        <f t="shared" si="2"/>
        <v>480</v>
      </c>
    </row>
    <row r="35" spans="1:6" ht="14.4" x14ac:dyDescent="0.3">
      <c r="A35" s="8">
        <v>10112</v>
      </c>
      <c r="B35" s="12">
        <v>10116</v>
      </c>
      <c r="C35" s="24" t="str">
        <f t="shared" si="0"/>
        <v>G</v>
      </c>
      <c r="D35" s="24" t="str">
        <f t="shared" si="1"/>
        <v>I</v>
      </c>
      <c r="E35" s="24" cm="1">
        <f t="array" ref="E35">_xlfn.IFS(D35="A",2,D35="B",3,D35="C",4,D35="D",5,D35="E",6,D35="F",7,D35="G",8,D35="H",9,D35="I",10)</f>
        <v>10</v>
      </c>
      <c r="F35" s="24">
        <f t="shared" si="2"/>
        <v>105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RAMEES NOUSHAD</cp:lastModifiedBy>
  <dcterms:created xsi:type="dcterms:W3CDTF">2015-02-10T17:33:11Z</dcterms:created>
  <dcterms:modified xsi:type="dcterms:W3CDTF">2024-10-23T16:54:11Z</dcterms:modified>
</cp:coreProperties>
</file>